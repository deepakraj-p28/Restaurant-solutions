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ventory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1"/>
  <sheetViews>
    <sheetView workbookViewId="0" rightToLeft="0"/>
  </sheetViews>
  <sheetData>
    <row r="1">
      <c r="A1" t="str">
        <v>Item Code</v>
      </c>
      <c r="B1" t="str">
        <v>Store Name</v>
      </c>
      <c r="C1" t="str">
        <v>Ingredient Name</v>
      </c>
      <c r="D1" t="str">
        <v>Unit</v>
      </c>
      <c r="E1" t="str">
        <v>Quantity</v>
      </c>
      <c r="F1" t="str">
        <v>Cost per Unit</v>
      </c>
      <c r="G1" t="str">
        <v>Total Cost</v>
      </c>
      <c r="H1" t="str">
        <v>Low Stock Threshold</v>
      </c>
      <c r="I1" t="str">
        <v>Category</v>
      </c>
      <c r="J1" t="str">
        <v>Supplier</v>
      </c>
      <c r="K1" t="str">
        <v>Storage Location</v>
      </c>
      <c r="L1" t="str">
        <v>Batch/Lot No.</v>
      </c>
      <c r="M1" t="str">
        <v>Expiry Date</v>
      </c>
      <c r="N1" t="str">
        <v>Reorder Quantity</v>
      </c>
      <c r="O1" t="str">
        <v>Stock Status</v>
      </c>
    </row>
    <row r="2">
      <c r="A2" t="str">
        <v>DAIRY-0001</v>
      </c>
      <c r="B2" t="str">
        <v>Central Store</v>
      </c>
      <c r="C2" t="str">
        <v>Whole Milk</v>
      </c>
      <c r="D2" t="str">
        <v>L</v>
      </c>
      <c r="E2">
        <v>420</v>
      </c>
      <c r="F2">
        <v>68</v>
      </c>
      <c r="G2">
        <f>E2*F2</f>
        <v>28560</v>
      </c>
      <c r="H2">
        <v>80</v>
      </c>
      <c r="I2" t="str">
        <v>Dairy</v>
      </c>
      <c r="J2" t="str">
        <v>Amul Dairy</v>
      </c>
      <c r="K2" t="str">
        <v>Cold Room A</v>
      </c>
      <c r="L2" t="str">
        <v>DAI-WM-2606</v>
      </c>
      <c r="M2" t="str">
        <v>2026-06-12</v>
      </c>
      <c r="N2">
        <v>150</v>
      </c>
      <c r="O2" t="str">
        <f>IF(E2=0,"No Stock",IF(E2&lt;=H2,"Low Stock","OK"))</f>
        <v>OK</v>
      </c>
    </row>
    <row r="3">
      <c r="A3" t="str">
        <v>DAIRY-0002</v>
      </c>
      <c r="B3" t="str">
        <v>Central Store</v>
      </c>
      <c r="C3" t="str">
        <v>Toned Milk</v>
      </c>
      <c r="D3" t="str">
        <v>L</v>
      </c>
      <c r="E3">
        <v>360</v>
      </c>
      <c r="F3">
        <v>58</v>
      </c>
      <c r="G3">
        <f>E3*F3</f>
        <v>20880</v>
      </c>
      <c r="H3">
        <v>90</v>
      </c>
      <c r="I3" t="str">
        <v>Dairy</v>
      </c>
      <c r="J3" t="str">
        <v>Nandini Dairy</v>
      </c>
      <c r="K3" t="str">
        <v>Cold Room A</v>
      </c>
      <c r="L3" t="str">
        <v>DAI-TM-2606</v>
      </c>
      <c r="M3" t="str">
        <v>2026-06-11</v>
      </c>
      <c r="N3">
        <v>140</v>
      </c>
      <c r="O3" t="str">
        <f>IF(E3=0,"No Stock",IF(E3&lt;=H3,"Low Stock","OK"))</f>
        <v>OK</v>
      </c>
    </row>
    <row r="4">
      <c r="A4" t="str">
        <v>DAIRY-0003</v>
      </c>
      <c r="B4" t="str">
        <v>Central Store</v>
      </c>
      <c r="C4" t="str">
        <v>Fresh Cream</v>
      </c>
      <c r="D4" t="str">
        <v>L</v>
      </c>
      <c r="E4">
        <v>95</v>
      </c>
      <c r="F4">
        <v>185</v>
      </c>
      <c r="G4">
        <f>E4*F4</f>
        <v>17575</v>
      </c>
      <c r="H4">
        <v>25</v>
      </c>
      <c r="I4" t="str">
        <v>Dairy</v>
      </c>
      <c r="J4" t="str">
        <v>Amul Dairy</v>
      </c>
      <c r="K4" t="str">
        <v>Cold Room A</v>
      </c>
      <c r="L4" t="str">
        <v>DAI-FC-2606</v>
      </c>
      <c r="M4" t="str">
        <v>2026-06-09</v>
      </c>
      <c r="N4">
        <v>40</v>
      </c>
      <c r="O4" t="str">
        <f>IF(E4=0,"No Stock",IF(E4&lt;=H4,"Low Stock","OK"))</f>
        <v>OK</v>
      </c>
    </row>
    <row r="5">
      <c r="A5" t="str">
        <v>DAIRY-0004</v>
      </c>
      <c r="B5" t="str">
        <v>Central Store</v>
      </c>
      <c r="C5" t="str">
        <v>Butter Unsalted</v>
      </c>
      <c r="D5" t="str">
        <v>kg</v>
      </c>
      <c r="E5">
        <v>72</v>
      </c>
      <c r="F5">
        <v>510</v>
      </c>
      <c r="G5">
        <f>E5*F5</f>
        <v>36720</v>
      </c>
      <c r="H5">
        <v>20</v>
      </c>
      <c r="I5" t="str">
        <v>Dairy</v>
      </c>
      <c r="J5" t="str">
        <v>Milky Mist</v>
      </c>
      <c r="K5" t="str">
        <v>Cold Room A</v>
      </c>
      <c r="L5" t="str">
        <v>DAI-BU-2606</v>
      </c>
      <c r="M5" t="str">
        <v>2026-07-10</v>
      </c>
      <c r="N5">
        <v>30</v>
      </c>
      <c r="O5" t="str">
        <f>IF(E5=0,"No Stock",IF(E5&lt;=H5,"Low Stock","OK"))</f>
        <v>OK</v>
      </c>
    </row>
    <row r="6">
      <c r="A6" t="str">
        <v>DAIRY-0005</v>
      </c>
      <c r="B6" t="str">
        <v>Central Store</v>
      </c>
      <c r="C6" t="str">
        <v>Cheddar Cheese</v>
      </c>
      <c r="D6" t="str">
        <v>kg</v>
      </c>
      <c r="E6">
        <v>14</v>
      </c>
      <c r="F6">
        <v>620</v>
      </c>
      <c r="G6">
        <f>E6*F6</f>
        <v>8680</v>
      </c>
      <c r="H6">
        <v>15</v>
      </c>
      <c r="I6" t="str">
        <v>Dairy</v>
      </c>
      <c r="J6" t="str">
        <v>Dlecta Foods</v>
      </c>
      <c r="K6" t="str">
        <v>Cold Room A</v>
      </c>
      <c r="L6" t="str">
        <v>DAI-CC-2606</v>
      </c>
      <c r="M6" t="str">
        <v>2026-08-05</v>
      </c>
      <c r="N6">
        <v>25</v>
      </c>
      <c r="O6" t="str">
        <f>IF(E6=0,"No Stock",IF(E6&lt;=H6,"Low Stock","OK"))</f>
        <v>Low Stock</v>
      </c>
    </row>
    <row r="7">
      <c r="A7" t="str">
        <v>DAIRY-0006</v>
      </c>
      <c r="B7" t="str">
        <v>Central Store</v>
      </c>
      <c r="C7" t="str">
        <v>Mozzarella Cheese</v>
      </c>
      <c r="D7" t="str">
        <v>kg</v>
      </c>
      <c r="E7">
        <v>68</v>
      </c>
      <c r="F7">
        <v>590</v>
      </c>
      <c r="G7">
        <f>E7*F7</f>
        <v>40120</v>
      </c>
      <c r="H7">
        <v>18</v>
      </c>
      <c r="I7" t="str">
        <v>Dairy</v>
      </c>
      <c r="J7" t="str">
        <v>Dlecta Foods</v>
      </c>
      <c r="K7" t="str">
        <v>Cold Room A</v>
      </c>
      <c r="L7" t="str">
        <v>DAI-MZ-2606</v>
      </c>
      <c r="M7" t="str">
        <v>2026-08-08</v>
      </c>
      <c r="N7">
        <v>30</v>
      </c>
      <c r="O7" t="str">
        <f>IF(E7=0,"No Stock",IF(E7&lt;=H7,"Low Stock","OK"))</f>
        <v>OK</v>
      </c>
    </row>
    <row r="8">
      <c r="A8" t="str">
        <v>DAIRY-0007</v>
      </c>
      <c r="B8" t="str">
        <v>Central Store</v>
      </c>
      <c r="C8" t="str">
        <v>Paneer</v>
      </c>
      <c r="D8" t="str">
        <v>kg</v>
      </c>
      <c r="E8">
        <v>46</v>
      </c>
      <c r="F8">
        <v>360</v>
      </c>
      <c r="G8">
        <f>E8*F8</f>
        <v>16560</v>
      </c>
      <c r="H8">
        <v>12</v>
      </c>
      <c r="I8" t="str">
        <v>Dairy</v>
      </c>
      <c r="J8" t="str">
        <v>Milky Mist</v>
      </c>
      <c r="K8" t="str">
        <v>Cold Room A</v>
      </c>
      <c r="L8" t="str">
        <v>DAI-PN-2606</v>
      </c>
      <c r="M8" t="str">
        <v>2026-06-14</v>
      </c>
      <c r="N8">
        <v>20</v>
      </c>
      <c r="O8" t="str">
        <f>IF(E8=0,"No Stock",IF(E8&lt;=H8,"Low Stock","OK"))</f>
        <v>OK</v>
      </c>
    </row>
    <row r="9">
      <c r="A9" t="str">
        <v>DAIRY-0008</v>
      </c>
      <c r="B9" t="str">
        <v>Central Store</v>
      </c>
      <c r="C9" t="str">
        <v>Greek Yogurt</v>
      </c>
      <c r="D9" t="str">
        <v>kg</v>
      </c>
      <c r="E9">
        <v>38</v>
      </c>
      <c r="F9">
        <v>240</v>
      </c>
      <c r="G9">
        <f>E9*F9</f>
        <v>9120</v>
      </c>
      <c r="H9">
        <v>10</v>
      </c>
      <c r="I9" t="str">
        <v>Dairy</v>
      </c>
      <c r="J9" t="str">
        <v>Epiga Foods</v>
      </c>
      <c r="K9" t="str">
        <v>Cold Room A</v>
      </c>
      <c r="L9" t="str">
        <v>DAI-GY-2606</v>
      </c>
      <c r="M9" t="str">
        <v>2026-06-18</v>
      </c>
      <c r="N9">
        <v>18</v>
      </c>
      <c r="O9" t="str">
        <f>IF(E9=0,"No Stock",IF(E9&lt;=H9,"Low Stock","OK"))</f>
        <v>OK</v>
      </c>
    </row>
    <row r="10">
      <c r="A10" t="str">
        <v>PROD-0001</v>
      </c>
      <c r="B10" t="str">
        <v>Central Store</v>
      </c>
      <c r="C10" t="str">
        <v>Tomato</v>
      </c>
      <c r="D10" t="str">
        <v>kg</v>
      </c>
      <c r="E10">
        <v>130</v>
      </c>
      <c r="F10">
        <v>42</v>
      </c>
      <c r="G10">
        <f>E10*F10</f>
        <v>5460</v>
      </c>
      <c r="H10">
        <v>35</v>
      </c>
      <c r="I10" t="str">
        <v>Produce</v>
      </c>
      <c r="J10" t="str">
        <v>FreshKart Wholesale</v>
      </c>
      <c r="K10" t="str">
        <v>Produce Rack 1</v>
      </c>
      <c r="L10" t="str">
        <v>PRO-TM-2606</v>
      </c>
      <c r="M10" t="str">
        <v>2026-06-07</v>
      </c>
      <c r="N10">
        <v>60</v>
      </c>
      <c r="O10" t="str">
        <f>IF(E10=0,"No Stock",IF(E10&lt;=H10,"Low Stock","OK"))</f>
        <v>OK</v>
      </c>
    </row>
    <row r="11">
      <c r="A11" t="str">
        <v>PROD-0002</v>
      </c>
      <c r="B11" t="str">
        <v>Central Store</v>
      </c>
      <c r="C11" t="str">
        <v>Onion</v>
      </c>
      <c r="D11" t="str">
        <v>kg</v>
      </c>
      <c r="E11">
        <v>180</v>
      </c>
      <c r="F11">
        <v>34</v>
      </c>
      <c r="G11">
        <f>E11*F11</f>
        <v>6120</v>
      </c>
      <c r="H11">
        <v>45</v>
      </c>
      <c r="I11" t="str">
        <v>Produce</v>
      </c>
      <c r="J11" t="str">
        <v>FreshKart Wholesale</v>
      </c>
      <c r="K11" t="str">
        <v>Produce Rack 1</v>
      </c>
      <c r="L11" t="str">
        <v>PRO-ON-2606</v>
      </c>
      <c r="M11" t="str">
        <v>2026-06-15</v>
      </c>
      <c r="N11">
        <v>70</v>
      </c>
      <c r="O11" t="str">
        <f>IF(E11=0,"No Stock",IF(E11&lt;=H11,"Low Stock","OK"))</f>
        <v>OK</v>
      </c>
    </row>
    <row r="12">
      <c r="A12" t="str">
        <v>PROD-0003</v>
      </c>
      <c r="B12" t="str">
        <v>Central Store</v>
      </c>
      <c r="C12" t="str">
        <v>Potato</v>
      </c>
      <c r="D12" t="str">
        <v>kg</v>
      </c>
      <c r="E12">
        <v>210</v>
      </c>
      <c r="F12">
        <v>31</v>
      </c>
      <c r="G12">
        <f>E12*F12</f>
        <v>6510</v>
      </c>
      <c r="H12">
        <v>55</v>
      </c>
      <c r="I12" t="str">
        <v>Produce</v>
      </c>
      <c r="J12" t="str">
        <v>City Mandi Supply</v>
      </c>
      <c r="K12" t="str">
        <v>Produce Rack 1</v>
      </c>
      <c r="L12" t="str">
        <v>PRO-PT-2606</v>
      </c>
      <c r="M12" t="str">
        <v>2026-06-20</v>
      </c>
      <c r="N12">
        <v>80</v>
      </c>
      <c r="O12" t="str">
        <f>IF(E12=0,"No Stock",IF(E12&lt;=H12,"Low Stock","OK"))</f>
        <v>OK</v>
      </c>
    </row>
    <row r="13">
      <c r="A13" t="str">
        <v>PROD-0004</v>
      </c>
      <c r="B13" t="str">
        <v>Central Store</v>
      </c>
      <c r="C13" t="str">
        <v>Lettuce</v>
      </c>
      <c r="D13" t="str">
        <v>kg</v>
      </c>
      <c r="E13">
        <v>32</v>
      </c>
      <c r="F13">
        <v>115</v>
      </c>
      <c r="G13">
        <f>E13*F13</f>
        <v>3680</v>
      </c>
      <c r="H13">
        <v>10</v>
      </c>
      <c r="I13" t="str">
        <v>Produce</v>
      </c>
      <c r="J13" t="str">
        <v>GreenLeaf Farms</v>
      </c>
      <c r="K13" t="str">
        <v>Cold Room B</v>
      </c>
      <c r="L13" t="str">
        <v>PRO-LT-2606</v>
      </c>
      <c r="M13" s="1">
        <v>46178</v>
      </c>
      <c r="N13">
        <v>18</v>
      </c>
      <c r="O13" t="str">
        <f>IF(E13=0,"No Stock",IF(E13&lt;=H13,"Low Stock","OK"))</f>
        <v>OK</v>
      </c>
    </row>
    <row r="14">
      <c r="A14" t="str">
        <v>PROD-0005</v>
      </c>
      <c r="B14" t="str">
        <v>Central Store</v>
      </c>
      <c r="C14" t="str">
        <v>Spinach</v>
      </c>
      <c r="D14" t="str">
        <v>kg</v>
      </c>
      <c r="E14">
        <v>28</v>
      </c>
      <c r="F14">
        <v>90</v>
      </c>
      <c r="G14">
        <f>E14*F14</f>
        <v>2520</v>
      </c>
      <c r="H14">
        <v>8</v>
      </c>
      <c r="I14" t="str">
        <v>Produce</v>
      </c>
      <c r="J14" t="str">
        <v>GreenLeaf Farms</v>
      </c>
      <c r="K14" t="str">
        <v>Cold Room B</v>
      </c>
      <c r="L14" t="str">
        <v>PRO-SP-2606</v>
      </c>
      <c r="M14" t="str">
        <v>2026-06-05</v>
      </c>
      <c r="N14">
        <v>16</v>
      </c>
      <c r="O14" t="str">
        <f>IF(E14=0,"No Stock",IF(E14&lt;=H14,"Low Stock","OK"))</f>
        <v>OK</v>
      </c>
    </row>
    <row r="15">
      <c r="A15" t="str">
        <v>PROD-0006</v>
      </c>
      <c r="B15" t="str">
        <v>Central Store</v>
      </c>
      <c r="C15" t="str">
        <v>Bell Pepper Mixed</v>
      </c>
      <c r="D15" t="str">
        <v>kg</v>
      </c>
      <c r="E15">
        <v>44</v>
      </c>
      <c r="F15">
        <v>125</v>
      </c>
      <c r="G15">
        <f>E15*F15</f>
        <v>5500</v>
      </c>
      <c r="H15">
        <v>12</v>
      </c>
      <c r="I15" t="str">
        <v>Produce</v>
      </c>
      <c r="J15" t="str">
        <v>FreshKart Wholesale</v>
      </c>
      <c r="K15" t="str">
        <v>Cold Room B</v>
      </c>
      <c r="L15" t="str">
        <v>PRO-BP-2606</v>
      </c>
      <c r="M15" t="str">
        <v>2026-06-09</v>
      </c>
      <c r="N15">
        <v>20</v>
      </c>
      <c r="O15" t="str">
        <f>IF(E15=0,"No Stock",IF(E15&lt;=H15,"Low Stock","OK"))</f>
        <v>OK</v>
      </c>
    </row>
    <row r="16">
      <c r="A16" t="str">
        <v>PROD-0007</v>
      </c>
      <c r="B16" t="str">
        <v>Central Store</v>
      </c>
      <c r="C16" t="str">
        <v>Mushroom Button</v>
      </c>
      <c r="D16" t="str">
        <v>kg</v>
      </c>
      <c r="E16">
        <v>26</v>
      </c>
      <c r="F16">
        <v>210</v>
      </c>
      <c r="G16">
        <f>E16*F16</f>
        <v>5460</v>
      </c>
      <c r="H16">
        <v>8</v>
      </c>
      <c r="I16" t="str">
        <v>Produce</v>
      </c>
      <c r="J16" t="str">
        <v>GreenLeaf Farms</v>
      </c>
      <c r="K16" t="str">
        <v>Cold Room B</v>
      </c>
      <c r="L16" t="str">
        <v>PRO-MS-2606</v>
      </c>
      <c r="M16" t="str">
        <v>2026-06-07</v>
      </c>
      <c r="N16">
        <v>15</v>
      </c>
      <c r="O16" t="str">
        <f>IF(E16=0,"No Stock",IF(E16&lt;=H16,"Low Stock","OK"))</f>
        <v>OK</v>
      </c>
    </row>
    <row r="17">
      <c r="A17" t="str">
        <v>PROD-0008</v>
      </c>
      <c r="B17" t="str">
        <v>Central Store</v>
      </c>
      <c r="C17" t="str">
        <v>Garlic</v>
      </c>
      <c r="D17" t="str">
        <v>kg</v>
      </c>
      <c r="E17">
        <v>34</v>
      </c>
      <c r="F17">
        <v>160</v>
      </c>
      <c r="G17">
        <f>E17*F17</f>
        <v>5440</v>
      </c>
      <c r="H17">
        <v>9</v>
      </c>
      <c r="I17" t="str">
        <v>Produce</v>
      </c>
      <c r="J17" t="str">
        <v>City Mandi Supply</v>
      </c>
      <c r="K17" t="str">
        <v>Dry Store A</v>
      </c>
      <c r="L17" t="str">
        <v>PRO-GA-2606</v>
      </c>
      <c r="M17" t="str">
        <v>2026-07-02</v>
      </c>
      <c r="N17">
        <v>15</v>
      </c>
      <c r="O17" t="str">
        <f>IF(E17=0,"No Stock",IF(E17&lt;=H17,"Low Stock","OK"))</f>
        <v>OK</v>
      </c>
    </row>
    <row r="18">
      <c r="A18" t="str">
        <v>PROD-0009</v>
      </c>
      <c r="B18" t="str">
        <v>Central Store</v>
      </c>
      <c r="C18" t="str">
        <v>Ginger</v>
      </c>
      <c r="D18" t="str">
        <v>kg</v>
      </c>
      <c r="E18">
        <v>22</v>
      </c>
      <c r="F18">
        <v>150</v>
      </c>
      <c r="G18">
        <f>E18*F18</f>
        <v>3300</v>
      </c>
      <c r="H18">
        <v>7</v>
      </c>
      <c r="I18" t="str">
        <v>Produce</v>
      </c>
      <c r="J18" t="str">
        <v>City Mandi Supply</v>
      </c>
      <c r="K18" t="str">
        <v>Dry Store A</v>
      </c>
      <c r="L18" t="str">
        <v>PRO-GI-2606</v>
      </c>
      <c r="M18" t="str">
        <v>2026-06-25</v>
      </c>
      <c r="N18">
        <v>12</v>
      </c>
      <c r="O18" t="str">
        <f>IF(E18=0,"No Stock",IF(E18&lt;=H18,"Low Stock","OK"))</f>
        <v>OK</v>
      </c>
    </row>
    <row r="19">
      <c r="A19" t="str">
        <v>PROD-0010</v>
      </c>
      <c r="B19" t="str">
        <v>Central Store</v>
      </c>
      <c r="C19" t="str">
        <v>Lemon</v>
      </c>
      <c r="D19" t="str">
        <v>kg</v>
      </c>
      <c r="E19">
        <v>48</v>
      </c>
      <c r="F19">
        <v>95</v>
      </c>
      <c r="G19">
        <f>E19*F19</f>
        <v>4560</v>
      </c>
      <c r="H19">
        <v>12</v>
      </c>
      <c r="I19" t="str">
        <v>Produce</v>
      </c>
      <c r="J19" t="str">
        <v>FreshKart Wholesale</v>
      </c>
      <c r="K19" t="str">
        <v>Cold Room B</v>
      </c>
      <c r="L19" t="str">
        <v>PRO-LM-2606</v>
      </c>
      <c r="M19" t="str">
        <v>2026-06-12</v>
      </c>
      <c r="N19">
        <v>20</v>
      </c>
      <c r="O19" t="str">
        <f>IF(E19=0,"No Stock",IF(E19&lt;=H19,"Low Stock","OK"))</f>
        <v>OK</v>
      </c>
    </row>
    <row r="20">
      <c r="A20" t="str">
        <v>DRY-0001</v>
      </c>
      <c r="B20" t="str">
        <v>Central Store</v>
      </c>
      <c r="C20" t="str">
        <v>All Purpose Flour</v>
      </c>
      <c r="D20" t="str">
        <v>kg</v>
      </c>
      <c r="E20">
        <v>260</v>
      </c>
      <c r="F20">
        <v>54</v>
      </c>
      <c r="G20">
        <f>E20*F20</f>
        <v>14040</v>
      </c>
      <c r="H20">
        <v>70</v>
      </c>
      <c r="I20" t="str">
        <v>Dry Goods</v>
      </c>
      <c r="J20" t="str">
        <v>Metro Wholesale</v>
      </c>
      <c r="K20" t="str">
        <v>Dry Store B</v>
      </c>
      <c r="L20" t="str">
        <v>DRY-APF-2606</v>
      </c>
      <c r="M20" t="str">
        <v>2026-11-30</v>
      </c>
      <c r="N20">
        <v>100</v>
      </c>
      <c r="O20" t="str">
        <f>IF(E20=0,"No Stock",IF(E20&lt;=H20,"Low Stock","OK"))</f>
        <v>OK</v>
      </c>
    </row>
    <row r="21">
      <c r="A21" t="str">
        <v>DRY-0002</v>
      </c>
      <c r="B21" t="str">
        <v>Central Store</v>
      </c>
      <c r="C21" t="str">
        <v>Whole Wheat Flour</v>
      </c>
      <c r="D21" t="str">
        <v>kg</v>
      </c>
      <c r="E21">
        <v>170</v>
      </c>
      <c r="F21">
        <v>48</v>
      </c>
      <c r="G21">
        <f>E21*F21</f>
        <v>8160</v>
      </c>
      <c r="H21">
        <v>45</v>
      </c>
      <c r="I21" t="str">
        <v>Dry Goods</v>
      </c>
      <c r="J21" t="str">
        <v>Metro Wholesale</v>
      </c>
      <c r="K21" t="str">
        <v>Dry Store B</v>
      </c>
      <c r="L21" t="str">
        <v>DRY-WWF-2606</v>
      </c>
      <c r="M21" t="str">
        <v>2026-11-20</v>
      </c>
      <c r="N21">
        <v>70</v>
      </c>
      <c r="O21" t="str">
        <f>IF(E21=0,"No Stock",IF(E21&lt;=H21,"Low Stock","OK"))</f>
        <v>OK</v>
      </c>
    </row>
    <row r="22">
      <c r="A22" t="str">
        <v>DRY-0003</v>
      </c>
      <c r="B22" t="str">
        <v>Central Store</v>
      </c>
      <c r="C22" t="str">
        <v>Basmati Rice</v>
      </c>
      <c r="D22" t="str">
        <v>kg</v>
      </c>
      <c r="E22">
        <v>190</v>
      </c>
      <c r="F22">
        <v>92</v>
      </c>
      <c r="G22">
        <f>E22*F22</f>
        <v>17480</v>
      </c>
      <c r="H22">
        <v>50</v>
      </c>
      <c r="I22" t="str">
        <v>Dry Goods</v>
      </c>
      <c r="J22" t="str">
        <v>India Gate Foods</v>
      </c>
      <c r="K22" t="str">
        <v>Dry Store B</v>
      </c>
      <c r="L22" t="str">
        <v>DRY-BR-2606</v>
      </c>
      <c r="M22" t="str">
        <v>2027-01-15</v>
      </c>
      <c r="N22">
        <v>80</v>
      </c>
      <c r="O22" t="str">
        <f>IF(E22=0,"No Stock",IF(E22&lt;=H22,"Low Stock","OK"))</f>
        <v>OK</v>
      </c>
    </row>
    <row r="23">
      <c r="A23" t="str">
        <v>DRY-0004</v>
      </c>
      <c r="B23" t="str">
        <v>Central Store</v>
      </c>
      <c r="C23" t="str">
        <v>Penne Pasta</v>
      </c>
      <c r="D23" t="str">
        <v>kg</v>
      </c>
      <c r="E23">
        <v>120</v>
      </c>
      <c r="F23">
        <v>145</v>
      </c>
      <c r="G23">
        <f>E23*F23</f>
        <v>17400</v>
      </c>
      <c r="H23">
        <v>30</v>
      </c>
      <c r="I23" t="str">
        <v>Dry Goods</v>
      </c>
      <c r="J23" t="str">
        <v>Delizia Imports</v>
      </c>
      <c r="K23" t="str">
        <v>Dry Store B</v>
      </c>
      <c r="L23" t="str">
        <v>DRY-PP-2606</v>
      </c>
      <c r="M23" t="str">
        <v>2027-02-10</v>
      </c>
      <c r="N23">
        <v>50</v>
      </c>
      <c r="O23" t="str">
        <f>IF(E23=0,"No Stock",IF(E23&lt;=H23,"Low Stock","OK"))</f>
        <v>OK</v>
      </c>
    </row>
    <row r="24">
      <c r="A24" t="str">
        <v>DRY-0005</v>
      </c>
      <c r="B24" t="str">
        <v>Central Store</v>
      </c>
      <c r="C24" t="str">
        <v>Spaghetti</v>
      </c>
      <c r="D24" t="str">
        <v>kg</v>
      </c>
      <c r="E24">
        <v>115</v>
      </c>
      <c r="F24">
        <v>148</v>
      </c>
      <c r="G24">
        <f>E24*F24</f>
        <v>17020</v>
      </c>
      <c r="H24">
        <v>30</v>
      </c>
      <c r="I24" t="str">
        <v>Dry Goods</v>
      </c>
      <c r="J24" t="str">
        <v>Delizia Imports</v>
      </c>
      <c r="K24" t="str">
        <v>Dry Store B</v>
      </c>
      <c r="L24" t="str">
        <v>DRY-SG-2606</v>
      </c>
      <c r="M24" t="str">
        <v>2027-02-12</v>
      </c>
      <c r="N24">
        <v>50</v>
      </c>
      <c r="O24" t="str">
        <f>IF(E24=0,"No Stock",IF(E24&lt;=H24,"Low Stock","OK"))</f>
        <v>OK</v>
      </c>
    </row>
    <row r="25">
      <c r="A25" t="str">
        <v>DRY-0006</v>
      </c>
      <c r="B25" t="str">
        <v>Central Store</v>
      </c>
      <c r="C25" t="str">
        <v>White Sugar</v>
      </c>
      <c r="D25" t="str">
        <v>kg</v>
      </c>
      <c r="E25">
        <v>240</v>
      </c>
      <c r="F25">
        <v>46</v>
      </c>
      <c r="G25">
        <f>E25*F25</f>
        <v>11040</v>
      </c>
      <c r="H25">
        <v>60</v>
      </c>
      <c r="I25" t="str">
        <v>Dry Goods</v>
      </c>
      <c r="J25" t="str">
        <v>Metro Wholesale</v>
      </c>
      <c r="K25" t="str">
        <v>Dry Store B</v>
      </c>
      <c r="L25" t="str">
        <v>DRY-WS-2606</v>
      </c>
      <c r="M25" t="str">
        <v>2027-04-01</v>
      </c>
      <c r="N25">
        <v>90</v>
      </c>
      <c r="O25" t="str">
        <f>IF(E25=0,"No Stock",IF(E25&lt;=H25,"Low Stock","OK"))</f>
        <v>OK</v>
      </c>
    </row>
    <row r="26">
      <c r="A26" t="str">
        <v>DRY-0007</v>
      </c>
      <c r="B26" t="str">
        <v>Central Store</v>
      </c>
      <c r="C26" t="str">
        <v>Brown Sugar</v>
      </c>
      <c r="D26" t="str">
        <v>kg</v>
      </c>
      <c r="E26">
        <v>84</v>
      </c>
      <c r="F26">
        <v>82</v>
      </c>
      <c r="G26">
        <f>E26*F26</f>
        <v>6888</v>
      </c>
      <c r="H26">
        <v>20</v>
      </c>
      <c r="I26" t="str">
        <v>Dry Goods</v>
      </c>
      <c r="J26" t="str">
        <v>Metro Wholesale</v>
      </c>
      <c r="K26" t="str">
        <v>Dry Store B</v>
      </c>
      <c r="L26" t="str">
        <v>DRY-BS-2606</v>
      </c>
      <c r="M26" t="str">
        <v>2027-03-20</v>
      </c>
      <c r="N26">
        <v>35</v>
      </c>
      <c r="O26" t="str">
        <f>IF(E26=0,"No Stock",IF(E26&lt;=H26,"Low Stock","OK"))</f>
        <v>OK</v>
      </c>
    </row>
    <row r="27">
      <c r="A27" t="str">
        <v>DRY-0008</v>
      </c>
      <c r="B27" t="str">
        <v>Central Store</v>
      </c>
      <c r="C27" t="str">
        <v>Salt</v>
      </c>
      <c r="D27" t="str">
        <v>kg</v>
      </c>
      <c r="E27">
        <v>76</v>
      </c>
      <c r="F27">
        <v>22</v>
      </c>
      <c r="G27">
        <f>E27*F27</f>
        <v>1672</v>
      </c>
      <c r="H27">
        <v>18</v>
      </c>
      <c r="I27" t="str">
        <v>Dry Goods</v>
      </c>
      <c r="J27" t="str">
        <v>Metro Wholesale</v>
      </c>
      <c r="K27" t="str">
        <v>Dry Store B</v>
      </c>
      <c r="L27" t="str">
        <v>DRY-ST-2606</v>
      </c>
      <c r="M27" t="str">
        <v>2027-05-01</v>
      </c>
      <c r="N27">
        <v>30</v>
      </c>
      <c r="O27" t="str">
        <f>IF(E27=0,"No Stock",IF(E27&lt;=H27,"Low Stock","OK"))</f>
        <v>OK</v>
      </c>
    </row>
    <row r="28">
      <c r="A28" t="str">
        <v>DRY-0009</v>
      </c>
      <c r="B28" t="str">
        <v>Central Store</v>
      </c>
      <c r="C28" t="str">
        <v>Black Pepper</v>
      </c>
      <c r="D28" t="str">
        <v>kg</v>
      </c>
      <c r="E28">
        <v>18</v>
      </c>
      <c r="F28">
        <v>520</v>
      </c>
      <c r="G28">
        <f>E28*F28</f>
        <v>9360</v>
      </c>
      <c r="H28">
        <v>5</v>
      </c>
      <c r="I28" t="str">
        <v>Dry Goods</v>
      </c>
      <c r="J28" t="str">
        <v>Spice Route Traders</v>
      </c>
      <c r="K28" t="str">
        <v>Dry Store C</v>
      </c>
      <c r="L28" t="str">
        <v>DRY-BP-2606</v>
      </c>
      <c r="M28" t="str">
        <v>2027-01-05</v>
      </c>
      <c r="N28">
        <v>8</v>
      </c>
      <c r="O28" t="str">
        <f>IF(E28=0,"No Stock",IF(E28&lt;=H28,"Low Stock","OK"))</f>
        <v>OK</v>
      </c>
    </row>
    <row r="29">
      <c r="A29" t="str">
        <v>DRY-0010</v>
      </c>
      <c r="B29" t="str">
        <v>Central Store</v>
      </c>
      <c r="C29" t="str">
        <v>Oregano</v>
      </c>
      <c r="D29" t="str">
        <v>kg</v>
      </c>
      <c r="E29">
        <v>12</v>
      </c>
      <c r="F29">
        <v>780</v>
      </c>
      <c r="G29">
        <f>E29*F29</f>
        <v>9360</v>
      </c>
      <c r="H29">
        <v>4</v>
      </c>
      <c r="I29" t="str">
        <v>Dry Goods</v>
      </c>
      <c r="J29" t="str">
        <v>Spice Route Traders</v>
      </c>
      <c r="K29" t="str">
        <v>Dry Store C</v>
      </c>
      <c r="L29" t="str">
        <v>DRY-OR-2606</v>
      </c>
      <c r="M29" t="str">
        <v>2027-01-25</v>
      </c>
      <c r="N29">
        <v>6</v>
      </c>
      <c r="O29" t="str">
        <f>IF(E29=0,"No Stock",IF(E29&lt;=H29,"Low Stock","OK"))</f>
        <v>OK</v>
      </c>
    </row>
    <row r="30">
      <c r="A30" t="str">
        <v>DRY-0011</v>
      </c>
      <c r="B30" t="str">
        <v>Central Store</v>
      </c>
      <c r="C30" t="str">
        <v>Chilli Flakes</v>
      </c>
      <c r="D30" t="str">
        <v>kg</v>
      </c>
      <c r="E30">
        <v>15</v>
      </c>
      <c r="F30">
        <v>640</v>
      </c>
      <c r="G30">
        <f>E30*F30</f>
        <v>9600</v>
      </c>
      <c r="H30">
        <v>5</v>
      </c>
      <c r="I30" t="str">
        <v>Dry Goods</v>
      </c>
      <c r="J30" t="str">
        <v>Spice Route Traders</v>
      </c>
      <c r="K30" t="str">
        <v>Dry Store C</v>
      </c>
      <c r="L30" t="str">
        <v>DRY-CF-2606</v>
      </c>
      <c r="M30" t="str">
        <v>2027-02-05</v>
      </c>
      <c r="N30">
        <v>7</v>
      </c>
      <c r="O30" t="str">
        <f>IF(E30=0,"No Stock",IF(E30&lt;=H30,"Low Stock","OK"))</f>
        <v>OK</v>
      </c>
    </row>
    <row r="31">
      <c r="A31" t="str">
        <v>DRY-0012</v>
      </c>
      <c r="B31" t="str">
        <v>Central Store</v>
      </c>
      <c r="C31" t="str">
        <v>Olive Oil</v>
      </c>
      <c r="D31" t="str">
        <v>L</v>
      </c>
      <c r="E31">
        <v>88</v>
      </c>
      <c r="F31">
        <v>690</v>
      </c>
      <c r="G31">
        <f>E31*F31</f>
        <v>60720</v>
      </c>
      <c r="H31">
        <v>22</v>
      </c>
      <c r="I31" t="str">
        <v>Dry Goods</v>
      </c>
      <c r="J31" t="str">
        <v>Delizia Imports</v>
      </c>
      <c r="K31" t="str">
        <v>Dry Store C</v>
      </c>
      <c r="L31" t="str">
        <v>DRY-OO-2606</v>
      </c>
      <c r="M31" t="str">
        <v>2027-03-01</v>
      </c>
      <c r="N31">
        <v>35</v>
      </c>
      <c r="O31" t="str">
        <f>IF(E31=0,"No Stock",IF(E31&lt;=H31,"Low Stock","OK"))</f>
        <v>OK</v>
      </c>
    </row>
    <row r="32">
      <c r="A32" t="str">
        <v>DRY-0013</v>
      </c>
      <c r="B32" t="str">
        <v>Central Store</v>
      </c>
      <c r="C32" t="str">
        <v>Sunflower Oil</v>
      </c>
      <c r="D32" t="str">
        <v>L</v>
      </c>
      <c r="E32">
        <v>21</v>
      </c>
      <c r="F32">
        <v>135</v>
      </c>
      <c r="G32">
        <f>E32*F32</f>
        <v>2835</v>
      </c>
      <c r="H32">
        <v>40</v>
      </c>
      <c r="I32" t="str">
        <v>Dry Goods</v>
      </c>
      <c r="J32" t="str">
        <v>Metro Wholesale</v>
      </c>
      <c r="K32" t="str">
        <v>Dry Store C</v>
      </c>
      <c r="L32" t="str">
        <v>DRY-SO-2606</v>
      </c>
      <c r="M32" t="str">
        <v>2027-04-20</v>
      </c>
      <c r="N32">
        <v>60</v>
      </c>
      <c r="O32" t="str">
        <f>IF(E32=0,"No Stock",IF(E32&lt;=H32,"Low Stock","OK"))</f>
        <v>Low Stock</v>
      </c>
    </row>
    <row r="33">
      <c r="A33" t="str">
        <v>DRY-0014</v>
      </c>
      <c r="B33" t="str">
        <v>Central Store</v>
      </c>
      <c r="C33" t="str">
        <v>Vinegar</v>
      </c>
      <c r="D33" t="str">
        <v>L</v>
      </c>
      <c r="E33">
        <v>0</v>
      </c>
      <c r="F33">
        <v>74</v>
      </c>
      <c r="G33">
        <f>E33*F33</f>
        <v>0</v>
      </c>
      <c r="H33">
        <v>16</v>
      </c>
      <c r="I33" t="str">
        <v>Dry Goods</v>
      </c>
      <c r="J33" t="str">
        <v>Metro Wholesale</v>
      </c>
      <c r="K33" t="str">
        <v>Dry Store C</v>
      </c>
      <c r="L33" t="str">
        <v>DRY-VN-2606</v>
      </c>
      <c r="M33" t="str">
        <v>2027-02-18</v>
      </c>
      <c r="N33">
        <v>24</v>
      </c>
      <c r="O33" t="str">
        <f>IF(E33=0,"No Stock",IF(E33&lt;=H33,"Low Stock","OK"))</f>
        <v>No Stock</v>
      </c>
    </row>
    <row r="34">
      <c r="A34" t="str">
        <v>BAK-0001</v>
      </c>
      <c r="B34" t="str">
        <v>Central Store</v>
      </c>
      <c r="C34" t="str">
        <v>Croissant Dough</v>
      </c>
      <c r="D34" t="str">
        <v>kg</v>
      </c>
      <c r="E34">
        <v>55</v>
      </c>
      <c r="F34">
        <v>310</v>
      </c>
      <c r="G34">
        <f>E34*F34</f>
        <v>17050</v>
      </c>
      <c r="H34">
        <v>14</v>
      </c>
      <c r="I34" t="str">
        <v>Bakery</v>
      </c>
      <c r="J34" t="str">
        <v>BakePro Supplies</v>
      </c>
      <c r="K34" t="str">
        <v>Freezer 1</v>
      </c>
      <c r="L34" t="str">
        <v>BAK-CD-2606</v>
      </c>
      <c r="M34" t="str">
        <v>2026-09-30</v>
      </c>
      <c r="N34">
        <v>25</v>
      </c>
      <c r="O34" t="str">
        <f>IF(E34=0,"No Stock",IF(E34&lt;=H34,"Low Stock","OK"))</f>
        <v>OK</v>
      </c>
    </row>
    <row r="35">
      <c r="A35" t="str">
        <v>BAK-0002</v>
      </c>
      <c r="B35" t="str">
        <v>Central Store</v>
      </c>
      <c r="C35" t="str">
        <v>Sourdough Bread</v>
      </c>
      <c r="D35" t="str">
        <v>pcs</v>
      </c>
      <c r="E35">
        <v>140</v>
      </c>
      <c r="F35">
        <v>42</v>
      </c>
      <c r="G35">
        <f>E35*F35</f>
        <v>5880</v>
      </c>
      <c r="H35">
        <v>35</v>
      </c>
      <c r="I35" t="str">
        <v>Bakery</v>
      </c>
      <c r="J35" t="str">
        <v>BakePro Supplies</v>
      </c>
      <c r="K35" t="str">
        <v>Cold Room B</v>
      </c>
      <c r="L35" t="str">
        <v>BAK-SB-2606</v>
      </c>
      <c r="M35" t="str">
        <v>2026-06-08</v>
      </c>
      <c r="N35">
        <v>60</v>
      </c>
      <c r="O35" t="str">
        <f>IF(E35=0,"No Stock",IF(E35&lt;=H35,"Low Stock","OK"))</f>
        <v>OK</v>
      </c>
    </row>
    <row r="36">
      <c r="A36" t="str">
        <v>BAK-0003</v>
      </c>
      <c r="B36" t="str">
        <v>Central Store</v>
      </c>
      <c r="C36" t="str">
        <v>Burger Buns</v>
      </c>
      <c r="D36" t="str">
        <v>pcs</v>
      </c>
      <c r="E36">
        <v>420</v>
      </c>
      <c r="F36">
        <v>14</v>
      </c>
      <c r="G36">
        <f>E36*F36</f>
        <v>5880</v>
      </c>
      <c r="H36">
        <v>100</v>
      </c>
      <c r="I36" t="str">
        <v>Bakery</v>
      </c>
      <c r="J36" t="str">
        <v>BakePro Supplies</v>
      </c>
      <c r="K36" t="str">
        <v>Cold Room B</v>
      </c>
      <c r="L36" t="str">
        <v>BAK-BB-2606</v>
      </c>
      <c r="M36" t="str">
        <v>2026-06-10</v>
      </c>
      <c r="N36">
        <v>180</v>
      </c>
      <c r="O36" t="str">
        <f>IF(E36=0,"No Stock",IF(E36&lt;=H36,"Low Stock","OK"))</f>
        <v>OK</v>
      </c>
    </row>
    <row r="37">
      <c r="A37" t="str">
        <v>BAK-0004</v>
      </c>
      <c r="B37" t="str">
        <v>Central Store</v>
      </c>
      <c r="C37" t="str">
        <v>Pizza Base 10 inch</v>
      </c>
      <c r="D37" t="str">
        <v>pcs</v>
      </c>
      <c r="E37">
        <v>360</v>
      </c>
      <c r="F37">
        <v>28</v>
      </c>
      <c r="G37">
        <f>E37*F37</f>
        <v>10080</v>
      </c>
      <c r="H37">
        <v>80</v>
      </c>
      <c r="I37" t="str">
        <v>Bakery</v>
      </c>
      <c r="J37" t="str">
        <v>BakePro Supplies</v>
      </c>
      <c r="K37" t="str">
        <v>Freezer 1</v>
      </c>
      <c r="L37" t="str">
        <v>BAK-PB-2606</v>
      </c>
      <c r="M37" t="str">
        <v>2026-08-20</v>
      </c>
      <c r="N37">
        <v>150</v>
      </c>
      <c r="O37" t="str">
        <f>IF(E37=0,"No Stock",IF(E37&lt;=H37,"Low Stock","OK"))</f>
        <v>OK</v>
      </c>
    </row>
    <row r="38">
      <c r="A38" t="str">
        <v>MEAT-0001</v>
      </c>
      <c r="B38" t="str">
        <v>Central Store</v>
      </c>
      <c r="C38" t="str">
        <v>Chicken Breast</v>
      </c>
      <c r="D38" t="str">
        <v>kg</v>
      </c>
      <c r="E38">
        <v>95</v>
      </c>
      <c r="F38">
        <v>285</v>
      </c>
      <c r="G38">
        <f>E38*F38</f>
        <v>27075</v>
      </c>
      <c r="H38">
        <v>24</v>
      </c>
      <c r="I38" t="str">
        <v>Meat/Seafood</v>
      </c>
      <c r="J38" t="str">
        <v>Prime Fresh Meats</v>
      </c>
      <c r="K38" t="str">
        <v>Freezer 2</v>
      </c>
      <c r="L38" t="str">
        <v>MEA-CB-2606</v>
      </c>
      <c r="M38" t="str">
        <v>2026-07-15</v>
      </c>
      <c r="N38">
        <v>40</v>
      </c>
      <c r="O38" t="str">
        <f>IF(E38=0,"No Stock",IF(E38&lt;=H38,"Low Stock","OK"))</f>
        <v>OK</v>
      </c>
    </row>
    <row r="39">
      <c r="A39" t="str">
        <v>MEAT-0002</v>
      </c>
      <c r="B39" t="str">
        <v>Central Store</v>
      </c>
      <c r="C39" t="str">
        <v>Chicken Sausage</v>
      </c>
      <c r="D39" t="str">
        <v>kg</v>
      </c>
      <c r="E39">
        <v>48</v>
      </c>
      <c r="F39">
        <v>330</v>
      </c>
      <c r="G39">
        <f>E39*F39</f>
        <v>15840</v>
      </c>
      <c r="H39">
        <v>12</v>
      </c>
      <c r="I39" t="str">
        <v>Meat/Seafood</v>
      </c>
      <c r="J39" t="str">
        <v>Prime Fresh Meats</v>
      </c>
      <c r="K39" t="str">
        <v>Freezer 2</v>
      </c>
      <c r="L39" t="str">
        <v>MEA-CS-2606</v>
      </c>
      <c r="M39" t="str">
        <v>2026-07-22</v>
      </c>
      <c r="N39">
        <v>22</v>
      </c>
      <c r="O39" t="str">
        <f>IF(E39=0,"No Stock",IF(E39&lt;=H39,"Low Stock","OK"))</f>
        <v>OK</v>
      </c>
    </row>
    <row r="40">
      <c r="A40" t="str">
        <v>MEAT-0003</v>
      </c>
      <c r="B40" t="str">
        <v>Central Store</v>
      </c>
      <c r="C40" t="str">
        <v>Smoked Ham</v>
      </c>
      <c r="D40" t="str">
        <v>kg</v>
      </c>
      <c r="E40">
        <v>30</v>
      </c>
      <c r="F40">
        <v>470</v>
      </c>
      <c r="G40">
        <f>E40*F40</f>
        <v>14100</v>
      </c>
      <c r="H40">
        <v>8</v>
      </c>
      <c r="I40" t="str">
        <v>Meat/Seafood</v>
      </c>
      <c r="J40" t="str">
        <v>Prime Fresh Meats</v>
      </c>
      <c r="K40" t="str">
        <v>Freezer 2</v>
      </c>
      <c r="L40" t="str">
        <v>MEA-SH-2606</v>
      </c>
      <c r="M40" t="str">
        <v>2026-08-05</v>
      </c>
      <c r="N40">
        <v>15</v>
      </c>
      <c r="O40" t="str">
        <f>IF(E40=0,"No Stock",IF(E40&lt;=H40,"Low Stock","OK"))</f>
        <v>OK</v>
      </c>
    </row>
    <row r="41">
      <c r="A41" t="str">
        <v>MEAT-0004</v>
      </c>
      <c r="B41" t="str">
        <v>Central Store</v>
      </c>
      <c r="C41" t="str">
        <v>Prawns Medium</v>
      </c>
      <c r="D41" t="str">
        <v>kg</v>
      </c>
      <c r="E41">
        <v>42</v>
      </c>
      <c r="F41">
        <v>620</v>
      </c>
      <c r="G41">
        <f>E41*F41</f>
        <v>26040</v>
      </c>
      <c r="H41">
        <v>10</v>
      </c>
      <c r="I41" t="str">
        <v>Meat/Seafood</v>
      </c>
      <c r="J41" t="str">
        <v>Coastal Seafood Co.</v>
      </c>
      <c r="K41" t="str">
        <v>Freezer 2</v>
      </c>
      <c r="L41" t="str">
        <v>MEA-PR-2606</v>
      </c>
      <c r="M41" t="str">
        <v>2026-07-30</v>
      </c>
      <c r="N41">
        <v>18</v>
      </c>
      <c r="O41" t="str">
        <f>IF(E41=0,"No Stock",IF(E41&lt;=H41,"Low Stock","OK"))</f>
        <v>OK</v>
      </c>
    </row>
    <row r="42">
      <c r="A42" t="str">
        <v>BEV-0001</v>
      </c>
      <c r="B42" t="str">
        <v>Central Store</v>
      </c>
      <c r="C42" t="str">
        <v>Arabica Coffee Beans</v>
      </c>
      <c r="D42" t="str">
        <v>kg</v>
      </c>
      <c r="E42">
        <v>110</v>
      </c>
      <c r="F42">
        <v>780</v>
      </c>
      <c r="G42">
        <f>E42*F42</f>
        <v>85800</v>
      </c>
      <c r="H42">
        <v>25</v>
      </c>
      <c r="I42" t="str">
        <v>Beverages</v>
      </c>
      <c r="J42" t="str">
        <v>BeanCraft Roasters</v>
      </c>
      <c r="K42" t="str">
        <v>Dry Store A</v>
      </c>
      <c r="L42" t="str">
        <v>BEV-AC-2606</v>
      </c>
      <c r="M42" t="str">
        <v>2027-01-20</v>
      </c>
      <c r="N42">
        <v>45</v>
      </c>
      <c r="O42" t="str">
        <f>IF(E42=0,"No Stock",IF(E42&lt;=H42,"Low Stock","OK"))</f>
        <v>OK</v>
      </c>
    </row>
    <row r="43">
      <c r="A43" t="str">
        <v>BEV-0002</v>
      </c>
      <c r="B43" t="str">
        <v>Central Store</v>
      </c>
      <c r="C43" t="str">
        <v>Robusta Coffee Beans</v>
      </c>
      <c r="D43" t="str">
        <v>kg</v>
      </c>
      <c r="E43">
        <v>90</v>
      </c>
      <c r="F43">
        <v>520</v>
      </c>
      <c r="G43">
        <f>E43*F43</f>
        <v>46800</v>
      </c>
      <c r="H43">
        <v>20</v>
      </c>
      <c r="I43" t="str">
        <v>Beverages</v>
      </c>
      <c r="J43" t="str">
        <v>BeanCraft Roasters</v>
      </c>
      <c r="K43" t="str">
        <v>Dry Store A</v>
      </c>
      <c r="L43" t="str">
        <v>BEV-RC-2606</v>
      </c>
      <c r="M43" t="str">
        <v>2027-01-18</v>
      </c>
      <c r="N43">
        <v>35</v>
      </c>
      <c r="O43" t="str">
        <f>IF(E43=0,"No Stock",IF(E43&lt;=H43,"Low Stock","OK"))</f>
        <v>OK</v>
      </c>
    </row>
    <row r="44">
      <c r="A44" t="str">
        <v>BEV-0003</v>
      </c>
      <c r="B44" t="str">
        <v>Central Store</v>
      </c>
      <c r="C44" t="str">
        <v>Assam Tea Leaves</v>
      </c>
      <c r="D44" t="str">
        <v>kg</v>
      </c>
      <c r="E44">
        <v>35</v>
      </c>
      <c r="F44">
        <v>390</v>
      </c>
      <c r="G44">
        <f>E44*F44</f>
        <v>13650</v>
      </c>
      <c r="H44">
        <v>8</v>
      </c>
      <c r="I44" t="str">
        <v>Beverages</v>
      </c>
      <c r="J44" t="str">
        <v>Tea Trail Supply</v>
      </c>
      <c r="K44" t="str">
        <v>Dry Store A</v>
      </c>
      <c r="L44" t="str">
        <v>BEV-AT-2606</v>
      </c>
      <c r="M44" t="str">
        <v>2027-03-01</v>
      </c>
      <c r="N44">
        <v>15</v>
      </c>
      <c r="O44" t="str">
        <f>IF(E44=0,"No Stock",IF(E44&lt;=H44,"Low Stock","OK"))</f>
        <v>OK</v>
      </c>
    </row>
    <row r="45">
      <c r="A45" t="str">
        <v>BEV-0004</v>
      </c>
      <c r="B45" t="str">
        <v>Central Store</v>
      </c>
      <c r="C45" t="str">
        <v>Green Tea Bags</v>
      </c>
      <c r="D45" t="str">
        <v>box</v>
      </c>
      <c r="E45">
        <v>60</v>
      </c>
      <c r="F45">
        <v>260</v>
      </c>
      <c r="G45">
        <f>E45*F45</f>
        <v>15600</v>
      </c>
      <c r="H45">
        <v>15</v>
      </c>
      <c r="I45" t="str">
        <v>Beverages</v>
      </c>
      <c r="J45" t="str">
        <v>Tea Trail Supply</v>
      </c>
      <c r="K45" t="str">
        <v>Dry Store A</v>
      </c>
      <c r="L45" t="str">
        <v>BEV-GT-2606</v>
      </c>
      <c r="M45" t="str">
        <v>2027-02-15</v>
      </c>
      <c r="N45">
        <v>25</v>
      </c>
      <c r="O45" t="str">
        <f>IF(E45=0,"No Stock",IF(E45&lt;=H45,"Low Stock","OK"))</f>
        <v>OK</v>
      </c>
    </row>
    <row r="46">
      <c r="A46" t="str">
        <v>BEV-0005</v>
      </c>
      <c r="B46" t="str">
        <v>Central Store</v>
      </c>
      <c r="C46" t="str">
        <v>Chocolate Syrup</v>
      </c>
      <c r="D46" t="str">
        <v>L</v>
      </c>
      <c r="E46">
        <v>70</v>
      </c>
      <c r="F46">
        <v>225</v>
      </c>
      <c r="G46">
        <f>E46*F46</f>
        <v>15750</v>
      </c>
      <c r="H46">
        <v>18</v>
      </c>
      <c r="I46" t="str">
        <v>Beverages</v>
      </c>
      <c r="J46" t="str">
        <v>Sweetline Foods</v>
      </c>
      <c r="K46" t="str">
        <v>Dry Store A</v>
      </c>
      <c r="L46" t="str">
        <v>BEV-CH-2606</v>
      </c>
      <c r="M46" t="str">
        <v>2027-01-25</v>
      </c>
      <c r="N46">
        <v>30</v>
      </c>
      <c r="O46" t="str">
        <f>IF(E46=0,"No Stock",IF(E46&lt;=H46,"Low Stock","OK"))</f>
        <v>OK</v>
      </c>
    </row>
    <row r="47">
      <c r="A47" t="str">
        <v>BEV-0006</v>
      </c>
      <c r="B47" t="str">
        <v>Central Store</v>
      </c>
      <c r="C47" t="str">
        <v>Vanilla Syrup</v>
      </c>
      <c r="D47" t="str">
        <v>L</v>
      </c>
      <c r="E47">
        <v>9</v>
      </c>
      <c r="F47">
        <v>240</v>
      </c>
      <c r="G47">
        <f>E47*F47</f>
        <v>2160</v>
      </c>
      <c r="H47">
        <v>14</v>
      </c>
      <c r="I47" t="str">
        <v>Beverages</v>
      </c>
      <c r="J47" t="str">
        <v>Sweetline Foods</v>
      </c>
      <c r="K47" t="str">
        <v>Dry Store A</v>
      </c>
      <c r="L47" t="str">
        <v>BEV-VS-2606</v>
      </c>
      <c r="M47" t="str">
        <v>2027-01-28</v>
      </c>
      <c r="N47">
        <v>24</v>
      </c>
      <c r="O47" t="str">
        <f>IF(E47=0,"No Stock",IF(E47&lt;=H47,"Low Stock","OK"))</f>
        <v>Low Stock</v>
      </c>
    </row>
    <row r="48">
      <c r="A48" t="str">
        <v>BEV-0007</v>
      </c>
      <c r="B48" t="str">
        <v>Central Store</v>
      </c>
      <c r="C48" t="str">
        <v>Caramel Syrup</v>
      </c>
      <c r="D48" t="str">
        <v>L</v>
      </c>
      <c r="E48">
        <v>52</v>
      </c>
      <c r="F48">
        <v>245</v>
      </c>
      <c r="G48">
        <f>E48*F48</f>
        <v>12740</v>
      </c>
      <c r="H48">
        <v>14</v>
      </c>
      <c r="I48" t="str">
        <v>Beverages</v>
      </c>
      <c r="J48" t="str">
        <v>Sweetline Foods</v>
      </c>
      <c r="K48" t="str">
        <v>Dry Store A</v>
      </c>
      <c r="L48" t="str">
        <v>BEV-CS-2606</v>
      </c>
      <c r="M48" t="str">
        <v>2027-01-28</v>
      </c>
      <c r="N48">
        <v>24</v>
      </c>
      <c r="O48" t="str">
        <f>IF(E48=0,"No Stock",IF(E48&lt;=H48,"Low Stock","OK"))</f>
        <v>OK</v>
      </c>
    </row>
    <row r="49">
      <c r="A49" t="str">
        <v>BEV-0008</v>
      </c>
      <c r="B49" t="str">
        <v>Central Store</v>
      </c>
      <c r="C49" t="str">
        <v>Soda Water</v>
      </c>
      <c r="D49" t="str">
        <v>case</v>
      </c>
      <c r="E49">
        <v>0</v>
      </c>
      <c r="F49">
        <v>310</v>
      </c>
      <c r="G49">
        <f>E49*F49</f>
        <v>0</v>
      </c>
      <c r="H49">
        <v>20</v>
      </c>
      <c r="I49" t="str">
        <v>Beverages</v>
      </c>
      <c r="J49" t="str">
        <v>Beverage Hub</v>
      </c>
      <c r="K49" t="str">
        <v>Ambient Rack 2</v>
      </c>
      <c r="L49" t="str">
        <v>BEV-SW-2606</v>
      </c>
      <c r="M49" t="str">
        <v>2026-12-20</v>
      </c>
      <c r="N49">
        <v>30</v>
      </c>
      <c r="O49" t="str">
        <f>IF(E49=0,"No Stock",IF(E49&lt;=H49,"Low Stock","OK"))</f>
        <v>No Stock</v>
      </c>
    </row>
    <row r="50">
      <c r="A50" t="str">
        <v>PACK-0001</v>
      </c>
      <c r="B50" t="str">
        <v>Central Store</v>
      </c>
      <c r="C50" t="str">
        <v>Hot Cup 8 oz</v>
      </c>
      <c r="D50" t="str">
        <v>pcs</v>
      </c>
      <c r="E50">
        <v>4500</v>
      </c>
      <c r="F50">
        <v>3.2</v>
      </c>
      <c r="G50">
        <f>E50*F50</f>
        <v>14400</v>
      </c>
      <c r="H50">
        <v>1000</v>
      </c>
      <c r="I50" t="str">
        <v>Packaging</v>
      </c>
      <c r="J50" t="str">
        <v>PackRight Solutions</v>
      </c>
      <c r="K50" t="str">
        <v>Packaging Rack 1</v>
      </c>
      <c r="L50" t="str">
        <v>PAC-H8-2606</v>
      </c>
      <c r="M50" t="str">
        <v>2028-01-01</v>
      </c>
      <c r="N50">
        <v>2000</v>
      </c>
      <c r="O50" t="str">
        <f>IF(E50=0,"No Stock",IF(E50&lt;=H50,"Low Stock","OK"))</f>
        <v>OK</v>
      </c>
    </row>
    <row r="51">
      <c r="A51" t="str">
        <v>PACK-0002</v>
      </c>
      <c r="B51" t="str">
        <v>Central Store</v>
      </c>
      <c r="C51" t="str">
        <v>Hot Cup 12 oz</v>
      </c>
      <c r="D51" t="str">
        <v>pcs</v>
      </c>
      <c r="E51">
        <v>5200</v>
      </c>
      <c r="F51">
        <v>3.8</v>
      </c>
      <c r="G51">
        <f>E51*F51</f>
        <v>19760</v>
      </c>
      <c r="H51">
        <v>1200</v>
      </c>
      <c r="I51" t="str">
        <v>Packaging</v>
      </c>
      <c r="J51" t="str">
        <v>PackRight Solutions</v>
      </c>
      <c r="K51" t="str">
        <v>Packaging Rack 1</v>
      </c>
      <c r="L51" t="str">
        <v>PAC-H12-2606</v>
      </c>
      <c r="M51" t="str">
        <v>2028-01-01</v>
      </c>
      <c r="N51">
        <v>2200</v>
      </c>
      <c r="O51" t="str">
        <f>IF(E51=0,"No Stock",IF(E51&lt;=H51,"Low Stock","OK"))</f>
        <v>OK</v>
      </c>
    </row>
    <row r="52">
      <c r="A52" t="str">
        <v>PACK-0003</v>
      </c>
      <c r="B52" t="str">
        <v>Central Store</v>
      </c>
      <c r="C52" t="str">
        <v>Cold Cup 16 oz</v>
      </c>
      <c r="D52" t="str">
        <v>pcs</v>
      </c>
      <c r="E52">
        <v>3600</v>
      </c>
      <c r="F52">
        <v>4.1</v>
      </c>
      <c r="G52">
        <f>E52*F52</f>
        <v>14759.999999999998</v>
      </c>
      <c r="H52">
        <v>900</v>
      </c>
      <c r="I52" t="str">
        <v>Packaging</v>
      </c>
      <c r="J52" t="str">
        <v>PackRight Solutions</v>
      </c>
      <c r="K52" t="str">
        <v>Packaging Rack 1</v>
      </c>
      <c r="L52" t="str">
        <v>PAC-C16-2606</v>
      </c>
      <c r="M52" t="str">
        <v>2028-01-01</v>
      </c>
      <c r="N52">
        <v>1500</v>
      </c>
      <c r="O52" t="str">
        <f>IF(E52=0,"No Stock",IF(E52&lt;=H52,"Low Stock","OK"))</f>
        <v>OK</v>
      </c>
    </row>
    <row r="53">
      <c r="A53" t="str">
        <v>PACK-0004</v>
      </c>
      <c r="B53" t="str">
        <v>Central Store</v>
      </c>
      <c r="C53" t="str">
        <v>Cup Lids</v>
      </c>
      <c r="D53" t="str">
        <v>pcs</v>
      </c>
      <c r="E53">
        <v>7200</v>
      </c>
      <c r="F53">
        <v>1.4</v>
      </c>
      <c r="G53">
        <f>E53*F53</f>
        <v>10080</v>
      </c>
      <c r="H53">
        <v>1600</v>
      </c>
      <c r="I53" t="str">
        <v>Packaging</v>
      </c>
      <c r="J53" t="str">
        <v>PackRight Solutions</v>
      </c>
      <c r="K53" t="str">
        <v>Packaging Rack 1</v>
      </c>
      <c r="L53" t="str">
        <v>PAC-CL-2606</v>
      </c>
      <c r="M53" t="str">
        <v>2028-01-01</v>
      </c>
      <c r="N53">
        <v>3000</v>
      </c>
      <c r="O53" t="str">
        <f>IF(E53=0,"No Stock",IF(E53&lt;=H53,"Low Stock","OK"))</f>
        <v>OK</v>
      </c>
    </row>
    <row r="54">
      <c r="A54" t="str">
        <v>PACK-0005</v>
      </c>
      <c r="B54" t="str">
        <v>Central Store</v>
      </c>
      <c r="C54" t="str">
        <v>Paper Straws</v>
      </c>
      <c r="D54" t="str">
        <v>pcs</v>
      </c>
      <c r="E54">
        <v>6200</v>
      </c>
      <c r="F54">
        <v>0.8</v>
      </c>
      <c r="G54">
        <f>E54*F54</f>
        <v>4960</v>
      </c>
      <c r="H54">
        <v>1500</v>
      </c>
      <c r="I54" t="str">
        <v>Packaging</v>
      </c>
      <c r="J54" t="str">
        <v>PackRight Solutions</v>
      </c>
      <c r="K54" t="str">
        <v>Packaging Rack 2</v>
      </c>
      <c r="L54" t="str">
        <v>PAC-PS-2606</v>
      </c>
      <c r="M54" t="str">
        <v>2028-01-01</v>
      </c>
      <c r="N54">
        <v>2500</v>
      </c>
      <c r="O54" t="str">
        <f>IF(E54=0,"No Stock",IF(E54&lt;=H54,"Low Stock","OK"))</f>
        <v>OK</v>
      </c>
    </row>
    <row r="55">
      <c r="A55" t="str">
        <v>PACK-0006</v>
      </c>
      <c r="B55" t="str">
        <v>Central Store</v>
      </c>
      <c r="C55" t="str">
        <v>Takeaway Box Small</v>
      </c>
      <c r="D55" t="str">
        <v>pcs</v>
      </c>
      <c r="E55">
        <v>250</v>
      </c>
      <c r="F55">
        <v>5.5</v>
      </c>
      <c r="G55">
        <f>E55*F55</f>
        <v>1375</v>
      </c>
      <c r="H55">
        <v>650</v>
      </c>
      <c r="I55" t="str">
        <v>Packaging</v>
      </c>
      <c r="J55" t="str">
        <v>PackRight Solutions</v>
      </c>
      <c r="K55" t="str">
        <v>Packaging Rack 2</v>
      </c>
      <c r="L55" t="str">
        <v>PAC-TBS-2606</v>
      </c>
      <c r="M55" t="str">
        <v>2028-01-01</v>
      </c>
      <c r="N55">
        <v>1100</v>
      </c>
      <c r="O55" t="str">
        <f>IF(E55=0,"No Stock",IF(E55&lt;=H55,"Low Stock","OK"))</f>
        <v>Low Stock</v>
      </c>
    </row>
    <row r="56">
      <c r="A56" t="str">
        <v>PACK-0007</v>
      </c>
      <c r="B56" t="str">
        <v>Central Store</v>
      </c>
      <c r="C56" t="str">
        <v>Takeaway Box Large</v>
      </c>
      <c r="D56" t="str">
        <v>pcs</v>
      </c>
      <c r="E56">
        <v>1900</v>
      </c>
      <c r="F56">
        <v>7.2</v>
      </c>
      <c r="G56">
        <f>E56*F56</f>
        <v>13680</v>
      </c>
      <c r="H56">
        <v>500</v>
      </c>
      <c r="I56" t="str">
        <v>Packaging</v>
      </c>
      <c r="J56" t="str">
        <v>PackRight Solutions</v>
      </c>
      <c r="K56" t="str">
        <v>Packaging Rack 2</v>
      </c>
      <c r="L56" t="str">
        <v>PAC-TBL-2606</v>
      </c>
      <c r="M56" t="str">
        <v>2028-01-01</v>
      </c>
      <c r="N56">
        <v>850</v>
      </c>
      <c r="O56" t="str">
        <f>IF(E56=0,"No Stock",IF(E56&lt;=H56,"Low Stock","OK"))</f>
        <v>OK</v>
      </c>
    </row>
    <row r="57">
      <c r="A57" t="str">
        <v>PACK-0008</v>
      </c>
      <c r="B57" t="str">
        <v>Central Store</v>
      </c>
      <c r="C57" t="str">
        <v>Napkins</v>
      </c>
      <c r="D57" t="str">
        <v>pack</v>
      </c>
      <c r="E57">
        <v>480</v>
      </c>
      <c r="F57">
        <v>42</v>
      </c>
      <c r="G57">
        <f>E57*F57</f>
        <v>20160</v>
      </c>
      <c r="H57">
        <v>120</v>
      </c>
      <c r="I57" t="str">
        <v>Packaging</v>
      </c>
      <c r="J57" t="str">
        <v>PackRight Solutions</v>
      </c>
      <c r="K57" t="str">
        <v>Packaging Rack 2</v>
      </c>
      <c r="L57" t="str">
        <v>PAC-NP-2606</v>
      </c>
      <c r="M57" t="str">
        <v>2028-01-01</v>
      </c>
      <c r="N57">
        <v>200</v>
      </c>
      <c r="O57" t="str">
        <f>IF(E57=0,"No Stock",IF(E57&lt;=H57,"Low Stock","OK"))</f>
        <v>OK</v>
      </c>
    </row>
    <row r="58">
      <c r="A58" t="str">
        <v>CLN-0001</v>
      </c>
      <c r="B58" t="str">
        <v>Central Store</v>
      </c>
      <c r="C58" t="str">
        <v>Dishwash Liquid</v>
      </c>
      <c r="D58" t="str">
        <v>L</v>
      </c>
      <c r="E58">
        <v>75</v>
      </c>
      <c r="F58">
        <v>145</v>
      </c>
      <c r="G58">
        <f>E58*F58</f>
        <v>10875</v>
      </c>
      <c r="H58">
        <v>20</v>
      </c>
      <c r="I58" t="str">
        <v>Cleaning/Support</v>
      </c>
      <c r="J58" t="str">
        <v>Hygiene First</v>
      </c>
      <c r="K58" t="str">
        <v>Utility Store</v>
      </c>
      <c r="L58" t="str">
        <v>CLN-DL-2606</v>
      </c>
      <c r="M58" t="str">
        <v>2027-01-10</v>
      </c>
      <c r="N58">
        <v>30</v>
      </c>
      <c r="O58" t="str">
        <f>IF(E58=0,"No Stock",IF(E58&lt;=H58,"Low Stock","OK"))</f>
        <v>OK</v>
      </c>
    </row>
    <row r="59">
      <c r="A59" t="str">
        <v>CLN-0002</v>
      </c>
      <c r="B59" t="str">
        <v>Central Store</v>
      </c>
      <c r="C59" t="str">
        <v>Surface Sanitizer</v>
      </c>
      <c r="D59" t="str">
        <v>L</v>
      </c>
      <c r="E59">
        <v>64</v>
      </c>
      <c r="F59">
        <v>180</v>
      </c>
      <c r="G59">
        <f>E59*F59</f>
        <v>11520</v>
      </c>
      <c r="H59">
        <v>16</v>
      </c>
      <c r="I59" t="str">
        <v>Cleaning/Support</v>
      </c>
      <c r="J59" t="str">
        <v>Hygiene First</v>
      </c>
      <c r="K59" t="str">
        <v>Utility Store</v>
      </c>
      <c r="L59" t="str">
        <v>CLN-SS-2606</v>
      </c>
      <c r="M59" t="str">
        <v>2027-01-12</v>
      </c>
      <c r="N59">
        <v>25</v>
      </c>
      <c r="O59" t="str">
        <f>IF(E59=0,"No Stock",IF(E59&lt;=H59,"Low Stock","OK"))</f>
        <v>OK</v>
      </c>
    </row>
    <row r="60">
      <c r="A60" t="str">
        <v>CLN-0003</v>
      </c>
      <c r="B60" t="str">
        <v>Central Store</v>
      </c>
      <c r="C60" t="str">
        <v>Hand Wash</v>
      </c>
      <c r="D60" t="str">
        <v>L</v>
      </c>
      <c r="E60">
        <v>58</v>
      </c>
      <c r="F60">
        <v>165</v>
      </c>
      <c r="G60">
        <f>E60*F60</f>
        <v>9570</v>
      </c>
      <c r="H60">
        <v>14</v>
      </c>
      <c r="I60" t="str">
        <v>Cleaning/Support</v>
      </c>
      <c r="J60" t="str">
        <v>Hygiene First</v>
      </c>
      <c r="K60" t="str">
        <v>Utility Store</v>
      </c>
      <c r="L60" t="str">
        <v>CLN-HW-2606</v>
      </c>
      <c r="M60" t="str">
        <v>2027-01-14</v>
      </c>
      <c r="N60">
        <v>24</v>
      </c>
      <c r="O60" t="str">
        <f>IF(E60=0,"No Stock",IF(E60&lt;=H60,"Low Stock","OK"))</f>
        <v>OK</v>
      </c>
    </row>
    <row r="61">
      <c r="A61" t="str">
        <v>CLN-0004</v>
      </c>
      <c r="B61" t="str">
        <v>Central Store</v>
      </c>
      <c r="C61" t="str">
        <v>Garbage Bags</v>
      </c>
      <c r="D61" t="str">
        <v>roll</v>
      </c>
      <c r="E61">
        <v>220</v>
      </c>
      <c r="F61">
        <v>68</v>
      </c>
      <c r="G61">
        <f>E61*F61</f>
        <v>14960</v>
      </c>
      <c r="H61">
        <v>50</v>
      </c>
      <c r="I61" t="str">
        <v>Cleaning/Support</v>
      </c>
      <c r="J61" t="str">
        <v>Hygiene First</v>
      </c>
      <c r="K61" t="str">
        <v>Utility Store</v>
      </c>
      <c r="L61" t="str">
        <v>CLN-GB-2606</v>
      </c>
      <c r="M61" t="str">
        <v>2028-01-01</v>
      </c>
      <c r="N61">
        <v>90</v>
      </c>
      <c r="O61" t="str">
        <f>IF(E61=0,"No Stock",IF(E61&lt;=H61,"Low Stock","OK"))</f>
        <v>OK</v>
      </c>
    </row>
  </sheetData>
  <pageMargins left="0.7" right="0.7" top="0.75" bottom="0.75" header="0.3" footer="0.3"/>
  <ignoredErrors>
    <ignoredError numberStoredAsText="1" sqref="A1:O6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2026-06-03T13:34:14Z</dcterms:modified>
  <cp:lastModifiedBy>Deepak Raj Patra</cp:lastModifiedBy>
</cp:coreProperties>
</file>